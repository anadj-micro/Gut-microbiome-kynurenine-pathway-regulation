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xavierlab/Ana/Kynurenine_pathway/IDO1_paper/Fig.3/"/>
    </mc:Choice>
  </mc:AlternateContent>
  <xr:revisionPtr revIDLastSave="0" documentId="13_ncr:40009_{ED9DF6D6-2B59-AF4D-B322-A940B7EE6B1A}" xr6:coauthVersionLast="47" xr6:coauthVersionMax="47" xr10:uidLastSave="{00000000-0000-0000-0000-000000000000}"/>
  <bookViews>
    <workbookView xWindow="380" yWindow="500" windowWidth="28040" windowHeight="16680"/>
  </bookViews>
  <sheets>
    <sheet name="ido_tdo_levels_10_16_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28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14" i="1"/>
  <c r="L3" i="1"/>
  <c r="L4" i="1"/>
  <c r="L5" i="1"/>
  <c r="L6" i="1"/>
  <c r="L7" i="1"/>
  <c r="L8" i="1"/>
  <c r="L9" i="1"/>
  <c r="L10" i="1"/>
  <c r="L11" i="1"/>
  <c r="L12" i="1"/>
  <c r="L13" i="1"/>
  <c r="L2" i="1"/>
  <c r="K40" i="1"/>
  <c r="K24" i="1"/>
  <c r="K9" i="1"/>
</calcChain>
</file>

<file path=xl/sharedStrings.xml><?xml version="1.0" encoding="utf-8"?>
<sst xmlns="http://schemas.openxmlformats.org/spreadsheetml/2006/main" count="226" uniqueCount="77">
  <si>
    <t>Sample_ID</t>
  </si>
  <si>
    <t>Mouse</t>
  </si>
  <si>
    <t>ido1</t>
  </si>
  <si>
    <t>Sample group</t>
  </si>
  <si>
    <t>Experiment</t>
  </si>
  <si>
    <t>Organ</t>
  </si>
  <si>
    <t>tdo2</t>
  </si>
  <si>
    <t>Treatment</t>
  </si>
  <si>
    <t>Days_since_stopping</t>
  </si>
  <si>
    <t>C1</t>
  </si>
  <si>
    <t>C</t>
  </si>
  <si>
    <t>colon</t>
  </si>
  <si>
    <t>C2</t>
  </si>
  <si>
    <t>C4</t>
  </si>
  <si>
    <t>C5</t>
  </si>
  <si>
    <t>AVN</t>
  </si>
  <si>
    <t>AVN1</t>
  </si>
  <si>
    <t>AVN2</t>
  </si>
  <si>
    <t>AVN3</t>
  </si>
  <si>
    <t>AVN4</t>
  </si>
  <si>
    <t>AVN5</t>
  </si>
  <si>
    <t>C3</t>
  </si>
  <si>
    <t>AVN_P</t>
  </si>
  <si>
    <t>KP_Exp_14_D11_AVN_PM1</t>
  </si>
  <si>
    <t>AVN_PM1</t>
  </si>
  <si>
    <t>KP_Exp_14_D11_AVN_PM3</t>
  </si>
  <si>
    <t>AVN_PM3</t>
  </si>
  <si>
    <t>KP_Exp_14_D11_AVN_PM4</t>
  </si>
  <si>
    <t>AVN_PM4</t>
  </si>
  <si>
    <t>KP_Exp_14_D11_AVN_PM5</t>
  </si>
  <si>
    <t>AVN_PM5</t>
  </si>
  <si>
    <t>KP_Exp_14_D11_AVN2</t>
  </si>
  <si>
    <t>KP_Exp_14_D11_AVN3</t>
  </si>
  <si>
    <t>KP_Exp_14_D11_AVN5</t>
  </si>
  <si>
    <t>KP_Exp_14_D11_C1</t>
  </si>
  <si>
    <t>KP_Exp_14_D11_C2</t>
  </si>
  <si>
    <t>KP_Exp_14_D11_C3</t>
  </si>
  <si>
    <t>KP_Exp_14_D11_C4</t>
  </si>
  <si>
    <t>KP_Exp_14_D11_C5</t>
  </si>
  <si>
    <t>KP_Exp_15_D11_AVN_PM1</t>
  </si>
  <si>
    <t>KP_Exp_15_D11_AVN_PM2</t>
  </si>
  <si>
    <t>AVN_PM2</t>
  </si>
  <si>
    <t>KP_Exp_15_D11_AVN_PM3</t>
  </si>
  <si>
    <t>KP_Exp_15_D11_AVN_PM4</t>
  </si>
  <si>
    <t>KP_Exp_15_D11_AVN_PM5</t>
  </si>
  <si>
    <t>KP_Exp_15_D11_AVN1</t>
  </si>
  <si>
    <t>KP_Exp_15_D11_AVN2</t>
  </si>
  <si>
    <t>KP_Exp_15_D11_AVN3</t>
  </si>
  <si>
    <t>KP_Exp_15_D11_AVN4</t>
  </si>
  <si>
    <t>KP_Exp_15_D11_AVN5</t>
  </si>
  <si>
    <t>KP_Exp_15_D11_C1</t>
  </si>
  <si>
    <t>KP_Exp_15_D11_C2</t>
  </si>
  <si>
    <t>KP_Exp_15_D11_C3</t>
  </si>
  <si>
    <t>KP_Exp_15_D11_C4</t>
  </si>
  <si>
    <t>KP_Exp_16_D11_AVN_PM1</t>
  </si>
  <si>
    <t>KP_Exp_16_D11_AVN_PM10</t>
  </si>
  <si>
    <t>AVN_PM10</t>
  </si>
  <si>
    <t>KP_Exp_16_D11_AVN_PM2</t>
  </si>
  <si>
    <t>KP_Exp_16_D11_AVN_PM3</t>
  </si>
  <si>
    <t>KP_Exp_16_D11_AVN_PM5</t>
  </si>
  <si>
    <t>KP_Exp_16_D11_AVN_PM7</t>
  </si>
  <si>
    <t>AVN_PM7</t>
  </si>
  <si>
    <t>KP_Exp_16_D11_AVN_PM8</t>
  </si>
  <si>
    <t>AVN_PM8</t>
  </si>
  <si>
    <t>KP_Exp_16_D11_AVN_PM9</t>
  </si>
  <si>
    <t>AVN_PM9</t>
  </si>
  <si>
    <t>KP_Exp_16_D11_AVN2</t>
  </si>
  <si>
    <t>KP_Exp_16_D11_AVN3</t>
  </si>
  <si>
    <t>KP_Exp_16_D11_AVN4</t>
  </si>
  <si>
    <t>KP_Exp_16_D11_AVN5</t>
  </si>
  <si>
    <t>KP_Exp_16_D11_C1</t>
  </si>
  <si>
    <t>KP_Exp_16_D11_C2</t>
  </si>
  <si>
    <t>KP_Exp_16_D11_C3</t>
  </si>
  <si>
    <t>KP_Exp_16_D11_C4</t>
  </si>
  <si>
    <t>KP_Exp_16_D11_C5</t>
  </si>
  <si>
    <t>mean control for each experiment</t>
  </si>
  <si>
    <t>normalized by mean control for correspomding 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</si>
</sst>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workbookViewId="0">
      <selection activeCell="O38" sqref="O38"/>
    </sheetView>
  </sheetViews>
  <sheetFormatPr baseColWidth="10" defaultRowHeight="16" x14ac:dyDescent="0.2"/>
  <cols>
    <col min="1" max="1" width="26.83203125" bestFit="1" customWidth="1"/>
    <col min="2" max="2" width="12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75</v>
      </c>
      <c r="L1" t="s">
        <v>76</v>
      </c>
    </row>
    <row r="2" spans="1:12" x14ac:dyDescent="0.2">
      <c r="A2" t="s">
        <v>23</v>
      </c>
      <c r="B2" t="s">
        <v>24</v>
      </c>
      <c r="C2">
        <v>1.150728148</v>
      </c>
      <c r="D2" t="s">
        <v>22</v>
      </c>
      <c r="E2">
        <v>14</v>
      </c>
      <c r="F2" t="s">
        <v>11</v>
      </c>
      <c r="G2">
        <v>0.196610273</v>
      </c>
      <c r="H2" t="s">
        <v>15</v>
      </c>
      <c r="I2">
        <v>4</v>
      </c>
      <c r="L2">
        <f>C2/$K$9</f>
        <v>1.8245278591137064</v>
      </c>
    </row>
    <row r="3" spans="1:12" x14ac:dyDescent="0.2">
      <c r="A3" t="s">
        <v>25</v>
      </c>
      <c r="B3" t="s">
        <v>26</v>
      </c>
      <c r="C3">
        <v>0.18343816800000001</v>
      </c>
      <c r="D3" t="s">
        <v>22</v>
      </c>
      <c r="E3">
        <v>14</v>
      </c>
      <c r="F3" t="s">
        <v>11</v>
      </c>
      <c r="G3">
        <v>0.25807458799999999</v>
      </c>
      <c r="H3" t="s">
        <v>15</v>
      </c>
      <c r="I3">
        <v>4</v>
      </c>
      <c r="L3">
        <f t="shared" ref="L3:L13" si="0">C3/$K$9</f>
        <v>0.29084892771805249</v>
      </c>
    </row>
    <row r="4" spans="1:12" x14ac:dyDescent="0.2">
      <c r="A4" t="s">
        <v>27</v>
      </c>
      <c r="B4" t="s">
        <v>28</v>
      </c>
      <c r="C4">
        <v>8.8596593000000001E-2</v>
      </c>
      <c r="D4" t="s">
        <v>22</v>
      </c>
      <c r="E4">
        <v>14</v>
      </c>
      <c r="F4" t="s">
        <v>11</v>
      </c>
      <c r="G4">
        <v>0.19295221000000001</v>
      </c>
      <c r="H4" t="s">
        <v>15</v>
      </c>
      <c r="I4">
        <v>4</v>
      </c>
      <c r="L4">
        <f t="shared" si="0"/>
        <v>0.14047362309856209</v>
      </c>
    </row>
    <row r="5" spans="1:12" x14ac:dyDescent="0.2">
      <c r="A5" t="s">
        <v>29</v>
      </c>
      <c r="B5" t="s">
        <v>30</v>
      </c>
      <c r="C5">
        <v>0.95118832499999995</v>
      </c>
      <c r="D5" t="s">
        <v>22</v>
      </c>
      <c r="E5">
        <v>14</v>
      </c>
      <c r="F5" t="s">
        <v>11</v>
      </c>
      <c r="G5">
        <v>0.27781769000000001</v>
      </c>
      <c r="H5" t="s">
        <v>15</v>
      </c>
      <c r="I5">
        <v>4</v>
      </c>
      <c r="L5">
        <f t="shared" si="0"/>
        <v>1.5081490804257289</v>
      </c>
    </row>
    <row r="6" spans="1:12" x14ac:dyDescent="0.2">
      <c r="A6" t="s">
        <v>31</v>
      </c>
      <c r="B6" t="s">
        <v>17</v>
      </c>
      <c r="C6">
        <v>0.11172113</v>
      </c>
      <c r="D6" t="s">
        <v>15</v>
      </c>
      <c r="E6">
        <v>14</v>
      </c>
      <c r="F6" t="s">
        <v>11</v>
      </c>
      <c r="G6">
        <v>0.178955856</v>
      </c>
      <c r="H6" t="s">
        <v>15</v>
      </c>
      <c r="I6">
        <v>4</v>
      </c>
      <c r="L6">
        <f t="shared" si="0"/>
        <v>0.17713854874493265</v>
      </c>
    </row>
    <row r="7" spans="1:12" x14ac:dyDescent="0.2">
      <c r="A7" t="s">
        <v>32</v>
      </c>
      <c r="B7" t="s">
        <v>18</v>
      </c>
      <c r="C7">
        <v>4.7507142000000002E-2</v>
      </c>
      <c r="D7" t="s">
        <v>15</v>
      </c>
      <c r="E7">
        <v>14</v>
      </c>
      <c r="F7" t="s">
        <v>11</v>
      </c>
      <c r="G7">
        <v>0.26187924299999998</v>
      </c>
      <c r="H7" t="s">
        <v>15</v>
      </c>
      <c r="I7">
        <v>4</v>
      </c>
      <c r="L7">
        <f t="shared" si="0"/>
        <v>7.5324571000127169E-2</v>
      </c>
    </row>
    <row r="8" spans="1:12" x14ac:dyDescent="0.2">
      <c r="A8" t="s">
        <v>33</v>
      </c>
      <c r="B8" t="s">
        <v>20</v>
      </c>
      <c r="C8">
        <v>2.4181779E-2</v>
      </c>
      <c r="D8" t="s">
        <v>15</v>
      </c>
      <c r="E8">
        <v>14</v>
      </c>
      <c r="F8" t="s">
        <v>11</v>
      </c>
      <c r="G8">
        <v>0.276785632</v>
      </c>
      <c r="H8" t="s">
        <v>15</v>
      </c>
      <c r="I8">
        <v>4</v>
      </c>
      <c r="L8">
        <f t="shared" si="0"/>
        <v>3.8341227287359954E-2</v>
      </c>
    </row>
    <row r="9" spans="1:12" x14ac:dyDescent="0.2">
      <c r="A9" t="s">
        <v>34</v>
      </c>
      <c r="B9" t="s">
        <v>9</v>
      </c>
      <c r="C9">
        <v>1.0323225789999999</v>
      </c>
      <c r="D9" t="s">
        <v>10</v>
      </c>
      <c r="E9">
        <v>14</v>
      </c>
      <c r="F9" t="s">
        <v>11</v>
      </c>
      <c r="G9">
        <v>1.0976881810000001</v>
      </c>
      <c r="H9" t="s">
        <v>10</v>
      </c>
      <c r="I9">
        <v>0</v>
      </c>
      <c r="K9">
        <f>AVERAGE(C9:C13)</f>
        <v>0.63069913799999999</v>
      </c>
      <c r="L9">
        <f t="shared" si="0"/>
        <v>1.6367908512981033</v>
      </c>
    </row>
    <row r="10" spans="1:12" x14ac:dyDescent="0.2">
      <c r="A10" t="s">
        <v>35</v>
      </c>
      <c r="B10" t="s">
        <v>12</v>
      </c>
      <c r="C10">
        <v>0.65054332800000003</v>
      </c>
      <c r="D10" t="s">
        <v>10</v>
      </c>
      <c r="E10">
        <v>14</v>
      </c>
      <c r="F10" t="s">
        <v>11</v>
      </c>
      <c r="G10">
        <v>1.0990342799999999</v>
      </c>
      <c r="H10" t="s">
        <v>10</v>
      </c>
      <c r="I10">
        <v>0</v>
      </c>
      <c r="L10">
        <f t="shared" si="0"/>
        <v>1.0314637975611123</v>
      </c>
    </row>
    <row r="11" spans="1:12" x14ac:dyDescent="0.2">
      <c r="A11" t="s">
        <v>36</v>
      </c>
      <c r="B11" t="s">
        <v>21</v>
      </c>
      <c r="C11">
        <v>0.36882867400000002</v>
      </c>
      <c r="D11" t="s">
        <v>10</v>
      </c>
      <c r="E11">
        <v>14</v>
      </c>
      <c r="F11" t="s">
        <v>11</v>
      </c>
      <c r="G11">
        <v>0.53083086899999998</v>
      </c>
      <c r="H11" t="s">
        <v>10</v>
      </c>
      <c r="I11">
        <v>0</v>
      </c>
      <c r="L11">
        <f t="shared" si="0"/>
        <v>0.5847933694179237</v>
      </c>
    </row>
    <row r="12" spans="1:12" x14ac:dyDescent="0.2">
      <c r="A12" t="s">
        <v>37</v>
      </c>
      <c r="B12" t="s">
        <v>13</v>
      </c>
      <c r="C12">
        <v>0.64092628600000001</v>
      </c>
      <c r="D12" t="s">
        <v>10</v>
      </c>
      <c r="E12">
        <v>14</v>
      </c>
      <c r="F12" t="s">
        <v>11</v>
      </c>
      <c r="G12">
        <v>0.68756761200000005</v>
      </c>
      <c r="H12" t="s">
        <v>10</v>
      </c>
      <c r="I12">
        <v>0</v>
      </c>
      <c r="L12">
        <f t="shared" si="0"/>
        <v>1.0162155731375044</v>
      </c>
    </row>
    <row r="13" spans="1:12" x14ac:dyDescent="0.2">
      <c r="A13" t="s">
        <v>38</v>
      </c>
      <c r="B13" t="s">
        <v>14</v>
      </c>
      <c r="C13">
        <v>0.46087482299999999</v>
      </c>
      <c r="D13" t="s">
        <v>10</v>
      </c>
      <c r="E13">
        <v>14</v>
      </c>
      <c r="F13" t="s">
        <v>11</v>
      </c>
      <c r="G13">
        <v>0.50768888199999995</v>
      </c>
      <c r="H13" t="s">
        <v>10</v>
      </c>
      <c r="I13">
        <v>0</v>
      </c>
      <c r="L13">
        <f t="shared" si="0"/>
        <v>0.73073640858535627</v>
      </c>
    </row>
    <row r="14" spans="1:12" x14ac:dyDescent="0.2">
      <c r="A14" t="s">
        <v>39</v>
      </c>
      <c r="B14" t="s">
        <v>24</v>
      </c>
      <c r="C14">
        <v>0.62158538900000004</v>
      </c>
      <c r="D14" t="s">
        <v>22</v>
      </c>
      <c r="E14">
        <v>15</v>
      </c>
      <c r="F14" t="s">
        <v>11</v>
      </c>
      <c r="G14">
        <v>0.591031062</v>
      </c>
      <c r="H14" t="s">
        <v>15</v>
      </c>
      <c r="I14">
        <v>4</v>
      </c>
      <c r="L14">
        <f>C14/$K$24</f>
        <v>0.83251931434375792</v>
      </c>
    </row>
    <row r="15" spans="1:12" x14ac:dyDescent="0.2">
      <c r="A15" t="s">
        <v>40</v>
      </c>
      <c r="B15" t="s">
        <v>41</v>
      </c>
      <c r="C15">
        <v>7.1496965999999995E-2</v>
      </c>
      <c r="D15" t="s">
        <v>22</v>
      </c>
      <c r="E15">
        <v>15</v>
      </c>
      <c r="F15" t="s">
        <v>11</v>
      </c>
      <c r="G15">
        <v>0.297782035</v>
      </c>
      <c r="H15" t="s">
        <v>15</v>
      </c>
      <c r="I15">
        <v>4</v>
      </c>
      <c r="L15">
        <f t="shared" ref="L15:L28" si="1">C15/$K$24</f>
        <v>9.5759337599196623E-2</v>
      </c>
    </row>
    <row r="16" spans="1:12" x14ac:dyDescent="0.2">
      <c r="A16" t="s">
        <v>42</v>
      </c>
      <c r="B16" t="s">
        <v>26</v>
      </c>
      <c r="C16">
        <v>4.3691150999999998E-2</v>
      </c>
      <c r="D16" t="s">
        <v>22</v>
      </c>
      <c r="E16">
        <v>15</v>
      </c>
      <c r="F16" t="s">
        <v>11</v>
      </c>
      <c r="G16">
        <v>0.42812557299999998</v>
      </c>
      <c r="H16" t="s">
        <v>15</v>
      </c>
      <c r="I16">
        <v>4</v>
      </c>
      <c r="L16">
        <f t="shared" si="1"/>
        <v>5.8517667430901574E-2</v>
      </c>
    </row>
    <row r="17" spans="1:12" x14ac:dyDescent="0.2">
      <c r="A17" t="s">
        <v>43</v>
      </c>
      <c r="B17" t="s">
        <v>28</v>
      </c>
      <c r="C17">
        <v>0.60702504000000002</v>
      </c>
      <c r="D17" t="s">
        <v>22</v>
      </c>
      <c r="E17">
        <v>15</v>
      </c>
      <c r="F17" t="s">
        <v>11</v>
      </c>
      <c r="G17">
        <v>0.23841721299999999</v>
      </c>
      <c r="H17" t="s">
        <v>15</v>
      </c>
      <c r="I17">
        <v>4</v>
      </c>
      <c r="L17">
        <f t="shared" si="1"/>
        <v>0.81301793612509154</v>
      </c>
    </row>
    <row r="18" spans="1:12" x14ac:dyDescent="0.2">
      <c r="A18" t="s">
        <v>44</v>
      </c>
      <c r="B18" t="s">
        <v>30</v>
      </c>
      <c r="C18">
        <v>2.0059433000000002E-2</v>
      </c>
      <c r="D18" t="s">
        <v>22</v>
      </c>
      <c r="E18">
        <v>15</v>
      </c>
      <c r="F18" t="s">
        <v>11</v>
      </c>
      <c r="G18">
        <v>0.30458172300000003</v>
      </c>
      <c r="H18" t="s">
        <v>15</v>
      </c>
      <c r="I18">
        <v>4</v>
      </c>
      <c r="L18">
        <f t="shared" si="1"/>
        <v>2.6866566851178914E-2</v>
      </c>
    </row>
    <row r="19" spans="1:12" x14ac:dyDescent="0.2">
      <c r="A19" t="s">
        <v>45</v>
      </c>
      <c r="B19" t="s">
        <v>16</v>
      </c>
      <c r="C19">
        <v>0.36922845199999998</v>
      </c>
      <c r="D19" t="s">
        <v>15</v>
      </c>
      <c r="E19">
        <v>15</v>
      </c>
      <c r="F19" t="s">
        <v>11</v>
      </c>
      <c r="G19">
        <v>0.379916649</v>
      </c>
      <c r="H19" t="s">
        <v>15</v>
      </c>
      <c r="I19">
        <v>4</v>
      </c>
      <c r="L19">
        <f t="shared" si="1"/>
        <v>0.49452548778498889</v>
      </c>
    </row>
    <row r="20" spans="1:12" x14ac:dyDescent="0.2">
      <c r="A20" t="s">
        <v>46</v>
      </c>
      <c r="B20" t="s">
        <v>17</v>
      </c>
      <c r="C20">
        <v>0.43152632600000002</v>
      </c>
      <c r="D20" t="s">
        <v>15</v>
      </c>
      <c r="E20">
        <v>15</v>
      </c>
      <c r="F20" t="s">
        <v>11</v>
      </c>
      <c r="G20">
        <v>0.15395202199999999</v>
      </c>
      <c r="H20" t="s">
        <v>15</v>
      </c>
      <c r="I20">
        <v>4</v>
      </c>
      <c r="L20">
        <f t="shared" si="1"/>
        <v>0.57796403744426006</v>
      </c>
    </row>
    <row r="21" spans="1:12" x14ac:dyDescent="0.2">
      <c r="A21" t="s">
        <v>47</v>
      </c>
      <c r="B21" t="s">
        <v>18</v>
      </c>
      <c r="C21">
        <v>4.4651454E-2</v>
      </c>
      <c r="D21" t="s">
        <v>15</v>
      </c>
      <c r="E21">
        <v>15</v>
      </c>
      <c r="F21" t="s">
        <v>11</v>
      </c>
      <c r="G21">
        <v>0.30713500100000002</v>
      </c>
      <c r="H21" t="s">
        <v>15</v>
      </c>
      <c r="I21">
        <v>4</v>
      </c>
      <c r="L21">
        <f t="shared" si="1"/>
        <v>5.9803847590973284E-2</v>
      </c>
    </row>
    <row r="22" spans="1:12" x14ac:dyDescent="0.2">
      <c r="A22" t="s">
        <v>48</v>
      </c>
      <c r="B22" t="s">
        <v>19</v>
      </c>
      <c r="C22">
        <v>5.9983213000000001E-2</v>
      </c>
      <c r="D22" t="s">
        <v>15</v>
      </c>
      <c r="E22">
        <v>15</v>
      </c>
      <c r="F22" t="s">
        <v>11</v>
      </c>
      <c r="G22">
        <v>0.25815210999999999</v>
      </c>
      <c r="H22" t="s">
        <v>15</v>
      </c>
      <c r="I22">
        <v>4</v>
      </c>
      <c r="L22">
        <f t="shared" si="1"/>
        <v>8.0338412457271552E-2</v>
      </c>
    </row>
    <row r="23" spans="1:12" x14ac:dyDescent="0.2">
      <c r="A23" t="s">
        <v>49</v>
      </c>
      <c r="B23" t="s">
        <v>20</v>
      </c>
      <c r="C23">
        <v>0.20987586499999999</v>
      </c>
      <c r="D23" t="s">
        <v>15</v>
      </c>
      <c r="E23">
        <v>15</v>
      </c>
      <c r="F23" t="s">
        <v>11</v>
      </c>
      <c r="G23">
        <v>0.26242299499999999</v>
      </c>
      <c r="H23" t="s">
        <v>15</v>
      </c>
      <c r="I23">
        <v>4</v>
      </c>
      <c r="L23">
        <f t="shared" si="1"/>
        <v>0.28109687634099628</v>
      </c>
    </row>
    <row r="24" spans="1:12" x14ac:dyDescent="0.2">
      <c r="A24" t="s">
        <v>50</v>
      </c>
      <c r="B24" t="s">
        <v>9</v>
      </c>
      <c r="C24">
        <v>0.86978654</v>
      </c>
      <c r="D24" t="s">
        <v>10</v>
      </c>
      <c r="E24">
        <v>15</v>
      </c>
      <c r="F24" t="s">
        <v>11</v>
      </c>
      <c r="G24">
        <v>0.43001971999999999</v>
      </c>
      <c r="H24" t="s">
        <v>10</v>
      </c>
      <c r="I24">
        <v>0</v>
      </c>
      <c r="K24">
        <f>AVERAGE(C24:C27)</f>
        <v>0.74663179374999999</v>
      </c>
      <c r="L24">
        <f t="shared" si="1"/>
        <v>1.1649470961200947</v>
      </c>
    </row>
    <row r="25" spans="1:12" x14ac:dyDescent="0.2">
      <c r="A25" t="s">
        <v>51</v>
      </c>
      <c r="B25" t="s">
        <v>12</v>
      </c>
      <c r="C25">
        <v>0.79222201800000003</v>
      </c>
      <c r="D25" t="s">
        <v>10</v>
      </c>
      <c r="E25">
        <v>15</v>
      </c>
      <c r="F25" t="s">
        <v>11</v>
      </c>
      <c r="G25">
        <v>0.32286944499999998</v>
      </c>
      <c r="H25" t="s">
        <v>10</v>
      </c>
      <c r="I25">
        <v>0</v>
      </c>
      <c r="L25">
        <f t="shared" si="1"/>
        <v>1.0610611878996212</v>
      </c>
    </row>
    <row r="26" spans="1:12" x14ac:dyDescent="0.2">
      <c r="A26" t="s">
        <v>52</v>
      </c>
      <c r="B26" t="s">
        <v>21</v>
      </c>
      <c r="C26">
        <v>0.60569382000000005</v>
      </c>
      <c r="D26" t="s">
        <v>10</v>
      </c>
      <c r="E26">
        <v>15</v>
      </c>
      <c r="F26" t="s">
        <v>11</v>
      </c>
      <c r="G26">
        <v>0.51797425200000002</v>
      </c>
      <c r="H26" t="s">
        <v>10</v>
      </c>
      <c r="I26">
        <v>0</v>
      </c>
      <c r="L26">
        <f t="shared" si="1"/>
        <v>0.81123496892339519</v>
      </c>
    </row>
    <row r="27" spans="1:12" x14ac:dyDescent="0.2">
      <c r="A27" t="s">
        <v>53</v>
      </c>
      <c r="B27" t="s">
        <v>13</v>
      </c>
      <c r="C27">
        <v>0.71882479700000002</v>
      </c>
      <c r="D27" t="s">
        <v>10</v>
      </c>
      <c r="E27">
        <v>15</v>
      </c>
      <c r="F27" t="s">
        <v>11</v>
      </c>
      <c r="G27">
        <v>0.39987260600000002</v>
      </c>
      <c r="H27" t="s">
        <v>10</v>
      </c>
      <c r="I27">
        <v>0</v>
      </c>
      <c r="L27">
        <f t="shared" si="1"/>
        <v>0.96275674705688896</v>
      </c>
    </row>
    <row r="28" spans="1:12" x14ac:dyDescent="0.2">
      <c r="A28" t="s">
        <v>54</v>
      </c>
      <c r="B28" t="s">
        <v>24</v>
      </c>
      <c r="C28">
        <v>8.8621902000000002E-2</v>
      </c>
      <c r="D28" t="s">
        <v>22</v>
      </c>
      <c r="E28">
        <v>16</v>
      </c>
      <c r="F28" t="s">
        <v>11</v>
      </c>
      <c r="G28">
        <v>0.236028564</v>
      </c>
      <c r="H28" t="s">
        <v>15</v>
      </c>
      <c r="I28">
        <v>4</v>
      </c>
      <c r="L28">
        <f>C28/$K$40</f>
        <v>0.16042243923889399</v>
      </c>
    </row>
    <row r="29" spans="1:12" x14ac:dyDescent="0.2">
      <c r="A29" t="s">
        <v>55</v>
      </c>
      <c r="B29" t="s">
        <v>56</v>
      </c>
      <c r="C29">
        <v>3.4908810999999998E-2</v>
      </c>
      <c r="D29" t="s">
        <v>22</v>
      </c>
      <c r="E29">
        <v>16</v>
      </c>
      <c r="F29" t="s">
        <v>11</v>
      </c>
      <c r="G29">
        <v>0.20761436699999999</v>
      </c>
      <c r="H29" t="s">
        <v>15</v>
      </c>
      <c r="I29">
        <v>4</v>
      </c>
      <c r="L29">
        <f t="shared" ref="L29:L44" si="2">C29/$K$40</f>
        <v>6.3191564220202959E-2</v>
      </c>
    </row>
    <row r="30" spans="1:12" x14ac:dyDescent="0.2">
      <c r="A30" t="s">
        <v>57</v>
      </c>
      <c r="B30" t="s">
        <v>41</v>
      </c>
      <c r="C30">
        <v>0.31093121800000001</v>
      </c>
      <c r="D30" t="s">
        <v>22</v>
      </c>
      <c r="E30">
        <v>16</v>
      </c>
      <c r="F30" t="s">
        <v>11</v>
      </c>
      <c r="G30">
        <v>0.34674761199999998</v>
      </c>
      <c r="H30" t="s">
        <v>15</v>
      </c>
      <c r="I30">
        <v>4</v>
      </c>
      <c r="L30">
        <f t="shared" si="2"/>
        <v>0.56284443575901022</v>
      </c>
    </row>
    <row r="31" spans="1:12" x14ac:dyDescent="0.2">
      <c r="A31" t="s">
        <v>58</v>
      </c>
      <c r="B31" t="s">
        <v>26</v>
      </c>
      <c r="C31">
        <v>0.22007486400000001</v>
      </c>
      <c r="D31" t="s">
        <v>22</v>
      </c>
      <c r="E31">
        <v>16</v>
      </c>
      <c r="F31" t="s">
        <v>11</v>
      </c>
      <c r="G31">
        <v>0.34185441700000002</v>
      </c>
      <c r="H31" t="s">
        <v>15</v>
      </c>
      <c r="I31">
        <v>4</v>
      </c>
      <c r="L31">
        <f t="shared" si="2"/>
        <v>0.39837721490166006</v>
      </c>
    </row>
    <row r="32" spans="1:12" x14ac:dyDescent="0.2">
      <c r="A32" t="s">
        <v>59</v>
      </c>
      <c r="B32" t="s">
        <v>30</v>
      </c>
      <c r="C32">
        <v>0.11122894</v>
      </c>
      <c r="D32" t="s">
        <v>22</v>
      </c>
      <c r="E32">
        <v>16</v>
      </c>
      <c r="F32" t="s">
        <v>11</v>
      </c>
      <c r="G32">
        <v>0.375291349</v>
      </c>
      <c r="H32" t="s">
        <v>15</v>
      </c>
      <c r="I32">
        <v>4</v>
      </c>
      <c r="L32">
        <f t="shared" si="2"/>
        <v>0.20134546275881759</v>
      </c>
    </row>
    <row r="33" spans="1:12" x14ac:dyDescent="0.2">
      <c r="A33" t="s">
        <v>60</v>
      </c>
      <c r="B33" t="s">
        <v>61</v>
      </c>
      <c r="C33">
        <v>7.5625883000000005E-2</v>
      </c>
      <c r="D33" t="s">
        <v>22</v>
      </c>
      <c r="E33">
        <v>16</v>
      </c>
      <c r="F33" t="s">
        <v>11</v>
      </c>
      <c r="G33">
        <v>0.31026078899999998</v>
      </c>
      <c r="H33" t="s">
        <v>15</v>
      </c>
      <c r="I33">
        <v>4</v>
      </c>
      <c r="L33">
        <f t="shared" si="2"/>
        <v>0.13689718169731005</v>
      </c>
    </row>
    <row r="34" spans="1:12" x14ac:dyDescent="0.2">
      <c r="A34" t="s">
        <v>62</v>
      </c>
      <c r="B34" t="s">
        <v>63</v>
      </c>
      <c r="C34">
        <v>0.51509929499999996</v>
      </c>
      <c r="D34" t="s">
        <v>22</v>
      </c>
      <c r="E34">
        <v>16</v>
      </c>
      <c r="F34" t="s">
        <v>11</v>
      </c>
      <c r="G34">
        <v>0.34939347900000001</v>
      </c>
      <c r="H34" t="s">
        <v>15</v>
      </c>
      <c r="I34">
        <v>4</v>
      </c>
      <c r="L34">
        <f t="shared" si="2"/>
        <v>0.93242735135762056</v>
      </c>
    </row>
    <row r="35" spans="1:12" x14ac:dyDescent="0.2">
      <c r="A35" t="s">
        <v>64</v>
      </c>
      <c r="B35" t="s">
        <v>65</v>
      </c>
      <c r="C35">
        <v>5.9944877000000001E-2</v>
      </c>
      <c r="D35" t="s">
        <v>22</v>
      </c>
      <c r="E35">
        <v>16</v>
      </c>
      <c r="F35" t="s">
        <v>11</v>
      </c>
      <c r="G35">
        <v>0.30454336700000001</v>
      </c>
      <c r="H35" t="s">
        <v>15</v>
      </c>
      <c r="I35">
        <v>4</v>
      </c>
      <c r="L35">
        <f t="shared" si="2"/>
        <v>0.10851158879681315</v>
      </c>
    </row>
    <row r="36" spans="1:12" x14ac:dyDescent="0.2">
      <c r="A36" t="s">
        <v>66</v>
      </c>
      <c r="B36" t="s">
        <v>17</v>
      </c>
      <c r="C36">
        <v>0.15237461799999999</v>
      </c>
      <c r="D36" t="s">
        <v>15</v>
      </c>
      <c r="E36">
        <v>16</v>
      </c>
      <c r="F36" t="s">
        <v>11</v>
      </c>
      <c r="G36">
        <v>0.38417025799999999</v>
      </c>
      <c r="H36" t="s">
        <v>15</v>
      </c>
      <c r="I36">
        <v>4</v>
      </c>
      <c r="L36">
        <f t="shared" si="2"/>
        <v>0.27582693833015093</v>
      </c>
    </row>
    <row r="37" spans="1:12" x14ac:dyDescent="0.2">
      <c r="A37" t="s">
        <v>67</v>
      </c>
      <c r="B37" t="s">
        <v>18</v>
      </c>
      <c r="C37">
        <v>0.109058532</v>
      </c>
      <c r="D37" t="s">
        <v>15</v>
      </c>
      <c r="E37">
        <v>16</v>
      </c>
      <c r="F37" t="s">
        <v>11</v>
      </c>
      <c r="G37">
        <v>0.13896283200000001</v>
      </c>
      <c r="H37" t="s">
        <v>15</v>
      </c>
      <c r="I37">
        <v>4</v>
      </c>
      <c r="L37">
        <f t="shared" si="2"/>
        <v>0.19741661291870011</v>
      </c>
    </row>
    <row r="38" spans="1:12" x14ac:dyDescent="0.2">
      <c r="A38" t="s">
        <v>68</v>
      </c>
      <c r="B38" t="s">
        <v>19</v>
      </c>
      <c r="C38">
        <v>0.24523125600000001</v>
      </c>
      <c r="D38" t="s">
        <v>15</v>
      </c>
      <c r="E38">
        <v>16</v>
      </c>
      <c r="F38" t="s">
        <v>11</v>
      </c>
      <c r="G38">
        <v>0.19729931000000001</v>
      </c>
      <c r="H38" t="s">
        <v>15</v>
      </c>
      <c r="I38">
        <v>4</v>
      </c>
      <c r="L38">
        <f t="shared" si="2"/>
        <v>0.44391505234380613</v>
      </c>
    </row>
    <row r="39" spans="1:12" x14ac:dyDescent="0.2">
      <c r="A39" t="s">
        <v>69</v>
      </c>
      <c r="B39" t="s">
        <v>20</v>
      </c>
      <c r="C39">
        <v>8.6009947000000003E-2</v>
      </c>
      <c r="D39" t="s">
        <v>15</v>
      </c>
      <c r="E39">
        <v>16</v>
      </c>
      <c r="F39" t="s">
        <v>11</v>
      </c>
      <c r="G39">
        <v>0.38469878400000002</v>
      </c>
      <c r="H39" t="s">
        <v>15</v>
      </c>
      <c r="I39">
        <v>4</v>
      </c>
      <c r="L39">
        <f t="shared" si="2"/>
        <v>0.15569430564182646</v>
      </c>
    </row>
    <row r="40" spans="1:12" x14ac:dyDescent="0.2">
      <c r="A40" t="s">
        <v>70</v>
      </c>
      <c r="B40" t="s">
        <v>9</v>
      </c>
      <c r="C40">
        <v>0.746581245</v>
      </c>
      <c r="D40" t="s">
        <v>10</v>
      </c>
      <c r="E40">
        <v>16</v>
      </c>
      <c r="F40" t="s">
        <v>11</v>
      </c>
      <c r="G40">
        <v>0.52211795000000005</v>
      </c>
      <c r="H40" t="s">
        <v>10</v>
      </c>
      <c r="I40">
        <v>0</v>
      </c>
      <c r="K40">
        <f>AVERAGE(C40:C44)</f>
        <v>0.55242834120000006</v>
      </c>
      <c r="L40">
        <f t="shared" si="2"/>
        <v>1.3514535539184243</v>
      </c>
    </row>
    <row r="41" spans="1:12" x14ac:dyDescent="0.2">
      <c r="A41" t="s">
        <v>71</v>
      </c>
      <c r="B41" t="s">
        <v>12</v>
      </c>
      <c r="C41">
        <v>0.33832988800000002</v>
      </c>
      <c r="D41" t="s">
        <v>10</v>
      </c>
      <c r="E41">
        <v>16</v>
      </c>
      <c r="F41" t="s">
        <v>11</v>
      </c>
      <c r="G41">
        <v>0.28842424999999999</v>
      </c>
      <c r="H41" t="s">
        <v>10</v>
      </c>
      <c r="I41">
        <v>0</v>
      </c>
      <c r="L41">
        <f t="shared" si="2"/>
        <v>0.61244122136288393</v>
      </c>
    </row>
    <row r="42" spans="1:12" x14ac:dyDescent="0.2">
      <c r="A42" t="s">
        <v>72</v>
      </c>
      <c r="B42" t="s">
        <v>21</v>
      </c>
      <c r="C42">
        <v>0.46297540700000001</v>
      </c>
      <c r="D42" t="s">
        <v>10</v>
      </c>
      <c r="E42">
        <v>16</v>
      </c>
      <c r="F42" t="s">
        <v>11</v>
      </c>
      <c r="G42">
        <v>0.321858906</v>
      </c>
      <c r="H42" t="s">
        <v>10</v>
      </c>
      <c r="I42">
        <v>0</v>
      </c>
      <c r="L42">
        <f t="shared" si="2"/>
        <v>0.83807323497254338</v>
      </c>
    </row>
    <row r="43" spans="1:12" x14ac:dyDescent="0.2">
      <c r="A43" t="s">
        <v>73</v>
      </c>
      <c r="B43" t="s">
        <v>13</v>
      </c>
      <c r="C43">
        <v>0.28482052600000002</v>
      </c>
      <c r="D43" t="s">
        <v>10</v>
      </c>
      <c r="E43">
        <v>16</v>
      </c>
      <c r="F43" t="s">
        <v>11</v>
      </c>
      <c r="G43">
        <v>0.33913184299999999</v>
      </c>
      <c r="H43" t="s">
        <v>10</v>
      </c>
      <c r="I43">
        <v>0</v>
      </c>
      <c r="L43">
        <f t="shared" si="2"/>
        <v>0.51557913444720271</v>
      </c>
    </row>
    <row r="44" spans="1:12" x14ac:dyDescent="0.2">
      <c r="A44" t="s">
        <v>74</v>
      </c>
      <c r="B44" t="s">
        <v>14</v>
      </c>
      <c r="C44">
        <v>0.92943463999999998</v>
      </c>
      <c r="D44" t="s">
        <v>10</v>
      </c>
      <c r="E44">
        <v>16</v>
      </c>
      <c r="F44" t="s">
        <v>11</v>
      </c>
      <c r="G44">
        <v>0.333996191</v>
      </c>
      <c r="H44" t="s">
        <v>10</v>
      </c>
      <c r="I44">
        <v>0</v>
      </c>
      <c r="L44">
        <f t="shared" si="2"/>
        <v>1.6824528552989451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ido_tdo_levels_10_16_24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Djukovic, Ana</cp:lastModifiedBy>
  <dcterms:created xsi:type="dcterms:W3CDTF">2024-10-16T14:59:30Z</dcterms:created>
  <dcterms:modified xsi:type="dcterms:W3CDTF">2024-10-16T15:04:18Z</dcterms:modified>
</cp:coreProperties>
</file>